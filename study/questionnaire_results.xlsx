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aron\Documents\GitHub\BuildingSmartAgentsFaster_replication\study\"/>
    </mc:Choice>
  </mc:AlternateContent>
  <xr:revisionPtr revIDLastSave="0" documentId="13_ncr:1_{EB858B51-9E6C-4B06-ACD3-1FA6EA85446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1" l="1"/>
  <c r="D35" i="1"/>
  <c r="C36" i="1"/>
  <c r="C35" i="1"/>
  <c r="D29" i="1"/>
  <c r="C29" i="1"/>
  <c r="D32" i="1"/>
  <c r="D31" i="1"/>
  <c r="D30" i="1"/>
  <c r="D33" i="1" s="1"/>
  <c r="C32" i="1"/>
  <c r="C31" i="1"/>
  <c r="C30" i="1"/>
  <c r="C33" i="1" s="1"/>
  <c r="D28" i="1"/>
  <c r="D27" i="1"/>
  <c r="D26" i="1"/>
  <c r="C28" i="1"/>
  <c r="C27" i="1"/>
  <c r="C26" i="1"/>
  <c r="D24" i="1"/>
  <c r="D23" i="1"/>
  <c r="D22" i="1"/>
  <c r="D21" i="1"/>
  <c r="D20" i="1"/>
  <c r="D19" i="1"/>
  <c r="D18" i="1"/>
  <c r="D17" i="1"/>
  <c r="D16" i="1"/>
  <c r="D15" i="1"/>
  <c r="D14" i="1"/>
  <c r="C22" i="1"/>
  <c r="C21" i="1"/>
  <c r="C20" i="1"/>
  <c r="C19" i="1"/>
  <c r="C18" i="1"/>
  <c r="C17" i="1"/>
  <c r="C16" i="1"/>
  <c r="C15" i="1"/>
  <c r="C14" i="1"/>
  <c r="C23" i="1"/>
  <c r="X3" i="1"/>
  <c r="X4" i="1"/>
  <c r="X5" i="1"/>
  <c r="X6" i="1"/>
  <c r="X7" i="1"/>
  <c r="X8" i="1"/>
  <c r="X9" i="1"/>
  <c r="X2" i="1"/>
  <c r="W3" i="1"/>
  <c r="W4" i="1"/>
  <c r="W5" i="1"/>
  <c r="W6" i="1"/>
  <c r="W7" i="1"/>
  <c r="W8" i="1"/>
  <c r="W9" i="1"/>
  <c r="W2" i="1"/>
  <c r="V6" i="1"/>
  <c r="V7" i="1"/>
  <c r="V8" i="1"/>
  <c r="V9" i="1"/>
  <c r="V5" i="1"/>
  <c r="V4" i="1"/>
  <c r="V3" i="1"/>
  <c r="V2" i="1"/>
  <c r="C24" i="1" s="1"/>
</calcChain>
</file>

<file path=xl/sharedStrings.xml><?xml version="1.0" encoding="utf-8"?>
<sst xmlns="http://schemas.openxmlformats.org/spreadsheetml/2006/main" count="79" uniqueCount="45">
  <si>
    <t>I have experience in software modeling / low-code / Model-driven engineering (if you don't know what this means, the answer is probably no)</t>
  </si>
  <si>
    <t>I have experience in programming / software development</t>
  </si>
  <si>
    <t xml:space="preserve"> think that I would like to use this system frequently.</t>
  </si>
  <si>
    <t>I found the system unnecessarily complex.</t>
  </si>
  <si>
    <t>I thought the system was easy to use.</t>
  </si>
  <si>
    <t xml:space="preserve"> think that I would need the support of a technical person to be able to use this system.</t>
  </si>
  <si>
    <t>I found the various functions in this system were well integrated.</t>
  </si>
  <si>
    <t>I thought there was too much inconsistency in this system.</t>
  </si>
  <si>
    <t>I would imagine that most people would learn to use this system very quickly.</t>
  </si>
  <si>
    <t>I found the system very cumbersome to use.</t>
  </si>
  <si>
    <t>I felt very confident using the system</t>
  </si>
  <si>
    <t>I needed to learn a lot of things before I could get going with this system.</t>
  </si>
  <si>
    <t>This tool would improve my productivity when creating personalized conversational agents.</t>
  </si>
  <si>
    <t>This tool makes it easier to implement personalization in conversational agents.</t>
  </si>
  <si>
    <t>I would find this tool useful in real-world projects.</t>
  </si>
  <si>
    <t>Learning to operate the tool was easy for me.</t>
  </si>
  <si>
    <t>The interaction with the tool is clear and understandable.</t>
  </si>
  <si>
    <t>I found the tool flexible to use.</t>
  </si>
  <si>
    <t>SUS Score</t>
  </si>
  <si>
    <t>Agree</t>
  </si>
  <si>
    <t>Strongly agree</t>
  </si>
  <si>
    <t>Strongly disagree</t>
  </si>
  <si>
    <t>Neutral</t>
  </si>
  <si>
    <t>Experts</t>
  </si>
  <si>
    <t>Laymen</t>
  </si>
  <si>
    <t>PU Score</t>
  </si>
  <si>
    <t>PEOU</t>
  </si>
  <si>
    <t>Help</t>
  </si>
  <si>
    <t xml:space="preserve">Average score per question </t>
  </si>
  <si>
    <t>Expert</t>
  </si>
  <si>
    <t>Layman</t>
  </si>
  <si>
    <t>Questions</t>
  </si>
  <si>
    <t>I think that I would like to use this system frequently.</t>
  </si>
  <si>
    <t>I think that I would need the support of a technical person to be able to use this system.</t>
  </si>
  <si>
    <t>System Usability Scale</t>
  </si>
  <si>
    <t>Average</t>
  </si>
  <si>
    <t>Technology Acceptance Model (Perceived Usefulness)</t>
  </si>
  <si>
    <t>Technology Acceptance Model (Perceived Ease of Use)</t>
  </si>
  <si>
    <t>Performance</t>
  </si>
  <si>
    <t>Needed intervetions</t>
  </si>
  <si>
    <t>Completion time (min)</t>
  </si>
  <si>
    <t>Time2</t>
  </si>
  <si>
    <t>Help2</t>
  </si>
  <si>
    <t>Time (min)</t>
  </si>
  <si>
    <t>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</si>
</sst>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  <font>
      <sz val="10"/>
      <color theme="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2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B3F86"/>
        <bgColor rgb="FF5B3F86"/>
      </patternFill>
    </fill>
    <fill>
      <patternFill patternType="solid">
        <fgColor theme="0"/>
        <bgColor rgb="FF5B3F86"/>
      </patternFill>
    </fill>
  </fills>
  <borders count="3">
    <border>
      <left/>
      <right/>
      <top/>
      <bottom/>
      <diagonal/>
    </border>
    <border>
      <left/>
      <right/>
      <top style="thin">
        <color rgb="FF5B3F8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/>
    </xf>
    <xf numFmtId="0" fontId="0" fillId="0" borderId="2" xfId="0" applyBorder="1"/>
    <xf numFmtId="0" fontId="3" fillId="2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vertical="center"/>
    </xf>
    <xf numFmtId="164" fontId="5" fillId="0" borderId="0" xfId="0" applyNumberFormat="1" applyFont="1" applyAlignment="1">
      <alignment vertical="center" wrapText="1"/>
    </xf>
  </cellXfs>
  <cellStyles count="1">
    <cellStyle name="Normal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m/d/yyyy\ h:mm:ss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m/d/yyyy\ h:mm:ss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m/d/yyyy\ h:mm:ss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Form responses 1-style" pivot="0" count="4" xr9:uid="{00000000-0011-0000-FFFF-FFFF00000000}">
      <tableStyleElement type="wholeTable" size="0" dxfId="30"/>
      <tableStyleElement type="headerRow" dxfId="29"/>
      <tableStyleElement type="firstRowStripe" dxfId="28"/>
      <tableStyleElement type="secondRowStripe" dxfId="2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Z9" dataDxfId="23">
  <tableColumns count="26">
    <tableColumn id="1" xr3:uid="{00000000-0010-0000-0000-000001000000}" name="Profile" dataDxfId="22"/>
    <tableColumn id="3" xr3:uid="{00000000-0010-0000-0000-000003000000}" name="I have experience in software modeling / low-code / Model-driven engineering (if you don't know what this means, the answer is probably no)" dataDxfId="21"/>
    <tableColumn id="4" xr3:uid="{00000000-0010-0000-0000-000004000000}" name="I have experience in programming / software development" dataDxfId="20"/>
    <tableColumn id="7" xr3:uid="{00000000-0010-0000-0000-000007000000}" name=" think that I would like to use this system frequently." dataDxfId="19"/>
    <tableColumn id="8" xr3:uid="{00000000-0010-0000-0000-000008000000}" name="I found the system unnecessarily complex." dataDxfId="18"/>
    <tableColumn id="9" xr3:uid="{00000000-0010-0000-0000-000009000000}" name="I thought the system was easy to use." dataDxfId="17"/>
    <tableColumn id="10" xr3:uid="{00000000-0010-0000-0000-00000A000000}" name=" think that I would need the support of a technical person to be able to use this system." dataDxfId="16"/>
    <tableColumn id="11" xr3:uid="{00000000-0010-0000-0000-00000B000000}" name="I found the various functions in this system were well integrated." dataDxfId="15"/>
    <tableColumn id="12" xr3:uid="{00000000-0010-0000-0000-00000C000000}" name="I thought there was too much inconsistency in this system." dataDxfId="14"/>
    <tableColumn id="13" xr3:uid="{00000000-0010-0000-0000-00000D000000}" name="I would imagine that most people would learn to use this system very quickly." dataDxfId="13"/>
    <tableColumn id="14" xr3:uid="{00000000-0010-0000-0000-00000E000000}" name="I found the system very cumbersome to use." dataDxfId="12"/>
    <tableColumn id="15" xr3:uid="{00000000-0010-0000-0000-00000F000000}" name="I felt very confident using the system" dataDxfId="11"/>
    <tableColumn id="16" xr3:uid="{00000000-0010-0000-0000-000010000000}" name="I needed to learn a lot of things before I could get going with this system." dataDxfId="10"/>
    <tableColumn id="17" xr3:uid="{00000000-0010-0000-0000-000011000000}" name="This tool would improve my productivity when creating personalized conversational agents." dataDxfId="9"/>
    <tableColumn id="18" xr3:uid="{00000000-0010-0000-0000-000012000000}" name="This tool makes it easier to implement personalization in conversational agents." dataDxfId="8"/>
    <tableColumn id="19" xr3:uid="{00000000-0010-0000-0000-000013000000}" name="I would find this tool useful in real-world projects." dataDxfId="7"/>
    <tableColumn id="20" xr3:uid="{00000000-0010-0000-0000-000014000000}" name="Learning to operate the tool was easy for me." dataDxfId="6"/>
    <tableColumn id="21" xr3:uid="{00000000-0010-0000-0000-000015000000}" name="The interaction with the tool is clear and understandable." dataDxfId="5"/>
    <tableColumn id="22" xr3:uid="{00000000-0010-0000-0000-000016000000}" name="I found the tool flexible to use." dataDxfId="4"/>
    <tableColumn id="2" xr3:uid="{00000000-0010-0000-0000-000002000000}" name="Time (min)" dataDxfId="26"/>
    <tableColumn id="5" xr3:uid="{00000000-0010-0000-0000-000005000000}" name="Help" dataDxfId="25"/>
    <tableColumn id="23" xr3:uid="{00000000-0010-0000-0000-000017000000}" name="SUS Score" dataDxfId="3">
      <calculatedColumnFormula>2.5*((D2-1)+(5-E2)+(F2-1)+(5-G2)+(H2-1)+(5-I2)+(J2-1)+(5-K2)+(L2-1)+(5-M2))</calculatedColumnFormula>
    </tableColumn>
    <tableColumn id="24" xr3:uid="{00000000-0010-0000-0000-000018000000}" name="PU Score" dataDxfId="2">
      <calculatedColumnFormula>AVERAGE(Form_Responses[[#This Row],[This tool would improve my productivity when creating personalized conversational agents.]:[I would find this tool useful in real-world projects.]])</calculatedColumnFormula>
    </tableColumn>
    <tableColumn id="25" xr3:uid="{00000000-0010-0000-0000-000019000000}" name="PEOU" dataDxfId="1">
      <calculatedColumnFormula>AVERAGE(Form_Responses[[#This Row],[Learning to operate the tool was easy for me.]:[I found the tool flexible to use.]])</calculatedColumnFormula>
    </tableColumn>
    <tableColumn id="6" xr3:uid="{00000000-0010-0000-0000-000006000000}" name="Time2" dataDxfId="24"/>
    <tableColumn id="26" xr3:uid="{12DE31EC-9FBC-4762-AF5C-5986E4A8D657}" name="Help2" dataDxfId="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40"/>
  <sheetViews>
    <sheetView tabSelected="1" workbookViewId="0">
      <pane ySplit="1" topLeftCell="A2" activePane="bottomLeft" state="frozen"/>
      <selection pane="bottomLeft" activeCell="B6" sqref="B6"/>
    </sheetView>
  </sheetViews>
  <sheetFormatPr defaultColWidth="12.7109375" defaultRowHeight="15.75" customHeight="1" x14ac:dyDescent="0.2"/>
  <cols>
    <col min="1" max="1" width="25.28515625" customWidth="1"/>
    <col min="2" max="2" width="119.28515625" bestFit="1" customWidth="1"/>
    <col min="3" max="3" width="49.28515625" bestFit="1" customWidth="1"/>
    <col min="4" max="7" width="37.7109375" customWidth="1"/>
    <col min="8" max="8" width="36.140625" customWidth="1"/>
    <col min="9" max="9" width="32.7109375" customWidth="1"/>
    <col min="10" max="13" width="37.7109375" customWidth="1"/>
    <col min="14" max="14" width="37.28515625" customWidth="1"/>
    <col min="15" max="15" width="31.85546875" customWidth="1"/>
    <col min="16" max="21" width="37.7109375" customWidth="1"/>
    <col min="22" max="22" width="27.28515625" customWidth="1"/>
    <col min="23" max="24" width="37.7109375" customWidth="1"/>
    <col min="25" max="25" width="31.28515625" customWidth="1"/>
    <col min="26" max="31" width="18.85546875" customWidth="1"/>
  </cols>
  <sheetData>
    <row r="1" spans="1:26" ht="22.5" customHeight="1" x14ac:dyDescent="0.2">
      <c r="A1" s="2" t="s">
        <v>44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13" t="s">
        <v>43</v>
      </c>
      <c r="U1" s="13" t="s">
        <v>27</v>
      </c>
      <c r="V1" s="13" t="s">
        <v>18</v>
      </c>
      <c r="W1" s="13" t="s">
        <v>25</v>
      </c>
      <c r="X1" s="13" t="s">
        <v>26</v>
      </c>
      <c r="Y1" s="13" t="s">
        <v>41</v>
      </c>
      <c r="Z1" t="s">
        <v>42</v>
      </c>
    </row>
    <row r="2" spans="1:26" ht="22.5" customHeight="1" x14ac:dyDescent="0.2">
      <c r="A2" s="16" t="s">
        <v>29</v>
      </c>
      <c r="B2" s="1" t="s">
        <v>19</v>
      </c>
      <c r="C2" s="1" t="s">
        <v>19</v>
      </c>
      <c r="D2" s="1">
        <v>5</v>
      </c>
      <c r="E2" s="1">
        <v>1</v>
      </c>
      <c r="F2" s="1">
        <v>5</v>
      </c>
      <c r="G2" s="1">
        <v>1</v>
      </c>
      <c r="H2" s="1">
        <v>5</v>
      </c>
      <c r="I2" s="1">
        <v>1</v>
      </c>
      <c r="J2" s="1">
        <v>5</v>
      </c>
      <c r="K2" s="1">
        <v>1</v>
      </c>
      <c r="L2" s="1">
        <v>5</v>
      </c>
      <c r="M2" s="1">
        <v>1</v>
      </c>
      <c r="N2" s="1">
        <v>5</v>
      </c>
      <c r="O2" s="1">
        <v>5</v>
      </c>
      <c r="P2" s="1">
        <v>5</v>
      </c>
      <c r="Q2" s="1">
        <v>5</v>
      </c>
      <c r="R2" s="1">
        <v>5</v>
      </c>
      <c r="S2" s="1">
        <v>5</v>
      </c>
      <c r="T2">
        <v>60</v>
      </c>
      <c r="U2">
        <v>6</v>
      </c>
      <c r="V2">
        <f>2.5*((D2-1)+(5-E2)+(F2-1)+(5-G2)+(H2-1)+(5-I2)+(J2-1)+(5-K2)+(L2-1)+(5-M2))</f>
        <v>100</v>
      </c>
      <c r="W2">
        <f>AVERAGE(Form_Responses[[#This Row],[This tool would improve my productivity when creating personalized conversational agents.]:[I would find this tool useful in real-world projects.]])</f>
        <v>5</v>
      </c>
      <c r="X2">
        <f>AVERAGE(Form_Responses[[#This Row],[Learning to operate the tool was easy for me.]:[I found the tool flexible to use.]])</f>
        <v>5</v>
      </c>
      <c r="Y2">
        <v>60</v>
      </c>
      <c r="Z2" s="15">
        <v>6</v>
      </c>
    </row>
    <row r="3" spans="1:26" ht="22.5" customHeight="1" x14ac:dyDescent="0.2">
      <c r="A3" s="16" t="s">
        <v>29</v>
      </c>
      <c r="B3" s="1" t="s">
        <v>20</v>
      </c>
      <c r="C3" s="1" t="s">
        <v>20</v>
      </c>
      <c r="D3" s="1">
        <v>4</v>
      </c>
      <c r="E3" s="1">
        <v>2</v>
      </c>
      <c r="F3" s="1">
        <v>4</v>
      </c>
      <c r="G3" s="1">
        <v>1</v>
      </c>
      <c r="H3" s="1">
        <v>5</v>
      </c>
      <c r="I3" s="1">
        <v>1</v>
      </c>
      <c r="J3" s="1">
        <v>5</v>
      </c>
      <c r="K3" s="1">
        <v>1</v>
      </c>
      <c r="L3" s="1">
        <v>5</v>
      </c>
      <c r="M3" s="1">
        <v>1</v>
      </c>
      <c r="N3" s="1">
        <v>5</v>
      </c>
      <c r="O3" s="1">
        <v>5</v>
      </c>
      <c r="P3" s="1">
        <v>5</v>
      </c>
      <c r="Q3" s="1">
        <v>5</v>
      </c>
      <c r="R3" s="1">
        <v>5</v>
      </c>
      <c r="S3" s="1">
        <v>5</v>
      </c>
      <c r="T3">
        <v>23</v>
      </c>
      <c r="U3">
        <v>0</v>
      </c>
      <c r="V3">
        <f>2.5*((D3-1)+(5-E3)+(F3-1)+(5-G3)+(H3-1)+(5-I3)+(J3-1)+(5-K3)+(L3-1)+(5-M3))</f>
        <v>92.5</v>
      </c>
      <c r="W3">
        <f>AVERAGE(Form_Responses[[#This Row],[This tool would improve my productivity when creating personalized conversational agents.]:[I would find this tool useful in real-world projects.]])</f>
        <v>5</v>
      </c>
      <c r="X3">
        <f>AVERAGE(Form_Responses[[#This Row],[Learning to operate the tool was easy for me.]:[I found the tool flexible to use.]])</f>
        <v>5</v>
      </c>
      <c r="Y3">
        <v>23</v>
      </c>
      <c r="Z3" s="15">
        <v>0</v>
      </c>
    </row>
    <row r="4" spans="1:26" ht="22.5" customHeight="1" x14ac:dyDescent="0.2">
      <c r="A4" s="16" t="s">
        <v>29</v>
      </c>
      <c r="B4" s="1" t="s">
        <v>20</v>
      </c>
      <c r="C4" s="1" t="s">
        <v>20</v>
      </c>
      <c r="D4" s="1">
        <v>4</v>
      </c>
      <c r="E4" s="1">
        <v>2</v>
      </c>
      <c r="F4" s="1">
        <v>4</v>
      </c>
      <c r="G4" s="1">
        <v>2</v>
      </c>
      <c r="H4" s="1">
        <v>5</v>
      </c>
      <c r="I4" s="1">
        <v>1</v>
      </c>
      <c r="J4" s="1">
        <v>5</v>
      </c>
      <c r="K4" s="1">
        <v>2</v>
      </c>
      <c r="L4" s="1">
        <v>5</v>
      </c>
      <c r="M4" s="1">
        <v>1</v>
      </c>
      <c r="N4" s="1">
        <v>5</v>
      </c>
      <c r="O4" s="1">
        <v>5</v>
      </c>
      <c r="P4" s="1">
        <v>4</v>
      </c>
      <c r="Q4" s="1">
        <v>5</v>
      </c>
      <c r="R4" s="1">
        <v>4</v>
      </c>
      <c r="S4" s="1">
        <v>5</v>
      </c>
      <c r="T4">
        <v>36</v>
      </c>
      <c r="U4">
        <v>1</v>
      </c>
      <c r="V4">
        <f>2.5*((D4-1)+(5-E4)+(F4-1)+(5-G4)+(H4-1)+(5-I4)+(J4-1)+(5-K4)+(L4-1)+(5-M4))</f>
        <v>87.5</v>
      </c>
      <c r="W4">
        <f>AVERAGE(Form_Responses[[#This Row],[This tool would improve my productivity when creating personalized conversational agents.]:[I would find this tool useful in real-world projects.]])</f>
        <v>4.666666666666667</v>
      </c>
      <c r="X4">
        <f>AVERAGE(Form_Responses[[#This Row],[Learning to operate the tool was easy for me.]:[I found the tool flexible to use.]])</f>
        <v>4.666666666666667</v>
      </c>
      <c r="Y4">
        <v>36</v>
      </c>
      <c r="Z4" s="15">
        <v>1</v>
      </c>
    </row>
    <row r="5" spans="1:26" ht="22.5" customHeight="1" x14ac:dyDescent="0.2">
      <c r="A5" s="16" t="s">
        <v>29</v>
      </c>
      <c r="B5" s="1" t="s">
        <v>20</v>
      </c>
      <c r="C5" s="1" t="s">
        <v>20</v>
      </c>
      <c r="D5" s="1">
        <v>4</v>
      </c>
      <c r="E5" s="1">
        <v>1</v>
      </c>
      <c r="F5" s="1">
        <v>4</v>
      </c>
      <c r="G5" s="1">
        <v>1</v>
      </c>
      <c r="H5" s="1">
        <v>5</v>
      </c>
      <c r="I5" s="1">
        <v>2</v>
      </c>
      <c r="J5" s="1">
        <v>4</v>
      </c>
      <c r="K5" s="1">
        <v>1</v>
      </c>
      <c r="L5" s="1">
        <v>5</v>
      </c>
      <c r="M5" s="1">
        <v>1</v>
      </c>
      <c r="N5" s="1">
        <v>5</v>
      </c>
      <c r="O5" s="1">
        <v>3</v>
      </c>
      <c r="P5" s="1">
        <v>5</v>
      </c>
      <c r="Q5" s="1">
        <v>5</v>
      </c>
      <c r="R5" s="1">
        <v>4</v>
      </c>
      <c r="S5" s="1">
        <v>5</v>
      </c>
      <c r="T5">
        <v>40</v>
      </c>
      <c r="U5">
        <v>2</v>
      </c>
      <c r="V5">
        <f>2.5*((D5-1)+(5-E5)+(F5-1)+(5-G5)+(H5-1)+(5-I5)+(J5-1)+(5-K5)+(L5-1)+(5-M5))</f>
        <v>90</v>
      </c>
      <c r="W5">
        <f>AVERAGE(Form_Responses[[#This Row],[This tool would improve my productivity when creating personalized conversational agents.]:[I would find this tool useful in real-world projects.]])</f>
        <v>4.333333333333333</v>
      </c>
      <c r="X5">
        <f>AVERAGE(Form_Responses[[#This Row],[Learning to operate the tool was easy for me.]:[I found the tool flexible to use.]])</f>
        <v>4.666666666666667</v>
      </c>
      <c r="Y5">
        <v>40</v>
      </c>
      <c r="Z5" s="15">
        <v>2</v>
      </c>
    </row>
    <row r="6" spans="1:26" ht="15.75" customHeight="1" x14ac:dyDescent="0.2">
      <c r="A6" s="16" t="s">
        <v>30</v>
      </c>
      <c r="B6" s="1" t="s">
        <v>21</v>
      </c>
      <c r="C6" s="1" t="s">
        <v>21</v>
      </c>
      <c r="D6" s="1">
        <v>4</v>
      </c>
      <c r="E6" s="1">
        <v>1</v>
      </c>
      <c r="F6" s="1">
        <v>4</v>
      </c>
      <c r="G6" s="1">
        <v>2</v>
      </c>
      <c r="H6" s="1">
        <v>4</v>
      </c>
      <c r="I6" s="1">
        <v>1</v>
      </c>
      <c r="J6" s="1">
        <v>4</v>
      </c>
      <c r="K6" s="1">
        <v>1</v>
      </c>
      <c r="L6" s="1">
        <v>3</v>
      </c>
      <c r="M6" s="1">
        <v>2</v>
      </c>
      <c r="N6" s="1">
        <v>4</v>
      </c>
      <c r="O6" s="1">
        <v>4</v>
      </c>
      <c r="P6" s="1">
        <v>4</v>
      </c>
      <c r="Q6" s="1">
        <v>4</v>
      </c>
      <c r="R6" s="1">
        <v>4</v>
      </c>
      <c r="S6" s="1">
        <v>4</v>
      </c>
      <c r="T6">
        <v>33</v>
      </c>
      <c r="U6">
        <v>2</v>
      </c>
      <c r="V6">
        <f>2.5*((D6-1)+(5-E6)+(F6-1)+(5-G6)+(H6-1)+(5-I6)+(J6-1)+(5-K6)+(L6-1)+(5-M6))</f>
        <v>80</v>
      </c>
      <c r="W6">
        <f>AVERAGE(Form_Responses[[#This Row],[This tool would improve my productivity when creating personalized conversational agents.]:[I would find this tool useful in real-world projects.]])</f>
        <v>4</v>
      </c>
      <c r="X6">
        <f>AVERAGE(Form_Responses[[#This Row],[Learning to operate the tool was easy for me.]:[I found the tool flexible to use.]])</f>
        <v>4</v>
      </c>
      <c r="Y6">
        <v>33</v>
      </c>
      <c r="Z6" s="15">
        <v>2</v>
      </c>
    </row>
    <row r="7" spans="1:26" ht="15.75" customHeight="1" x14ac:dyDescent="0.2">
      <c r="A7" s="16" t="s">
        <v>30</v>
      </c>
      <c r="B7" s="1" t="s">
        <v>21</v>
      </c>
      <c r="C7" s="1" t="s">
        <v>21</v>
      </c>
      <c r="D7" s="1">
        <v>4</v>
      </c>
      <c r="E7" s="1">
        <v>2</v>
      </c>
      <c r="F7" s="1">
        <v>4</v>
      </c>
      <c r="G7" s="1">
        <v>2</v>
      </c>
      <c r="H7" s="1">
        <v>4</v>
      </c>
      <c r="I7" s="1">
        <v>1</v>
      </c>
      <c r="J7" s="1">
        <v>4</v>
      </c>
      <c r="K7" s="1">
        <v>2</v>
      </c>
      <c r="L7" s="1">
        <v>4</v>
      </c>
      <c r="M7" s="1">
        <v>1</v>
      </c>
      <c r="N7" s="1">
        <v>3</v>
      </c>
      <c r="O7" s="1">
        <v>4</v>
      </c>
      <c r="P7" s="1">
        <v>4</v>
      </c>
      <c r="Q7" s="1">
        <v>3</v>
      </c>
      <c r="R7" s="1">
        <v>4</v>
      </c>
      <c r="S7" s="1">
        <v>3</v>
      </c>
      <c r="T7">
        <v>44</v>
      </c>
      <c r="U7">
        <v>4</v>
      </c>
      <c r="V7">
        <f>2.5*((D7-1)+(5-E7)+(F7-1)+(5-G7)+(H7-1)+(5-I7)+(J7-1)+(5-K7)+(L7-1)+(5-M7))</f>
        <v>80</v>
      </c>
      <c r="W7">
        <f>AVERAGE(Form_Responses[[#This Row],[This tool would improve my productivity when creating personalized conversational agents.]:[I would find this tool useful in real-world projects.]])</f>
        <v>3.6666666666666665</v>
      </c>
      <c r="X7">
        <f>AVERAGE(Form_Responses[[#This Row],[Learning to operate the tool was easy for me.]:[I found the tool flexible to use.]])</f>
        <v>3.3333333333333335</v>
      </c>
      <c r="Y7">
        <v>44</v>
      </c>
      <c r="Z7" s="15">
        <v>4</v>
      </c>
    </row>
    <row r="8" spans="1:26" ht="15.75" customHeight="1" x14ac:dyDescent="0.2">
      <c r="A8" s="16" t="s">
        <v>30</v>
      </c>
      <c r="B8" s="1" t="s">
        <v>21</v>
      </c>
      <c r="C8" s="1" t="s">
        <v>22</v>
      </c>
      <c r="D8" s="1">
        <v>3</v>
      </c>
      <c r="E8" s="1">
        <v>2</v>
      </c>
      <c r="F8" s="1">
        <v>4</v>
      </c>
      <c r="G8" s="1">
        <v>1</v>
      </c>
      <c r="H8" s="1">
        <v>5</v>
      </c>
      <c r="I8" s="1">
        <v>1</v>
      </c>
      <c r="J8" s="1">
        <v>4</v>
      </c>
      <c r="K8" s="1">
        <v>2</v>
      </c>
      <c r="L8" s="1">
        <v>3</v>
      </c>
      <c r="M8" s="1">
        <v>1</v>
      </c>
      <c r="N8" s="1">
        <v>5</v>
      </c>
      <c r="O8" s="1">
        <v>5</v>
      </c>
      <c r="P8" s="1">
        <v>4</v>
      </c>
      <c r="Q8" s="1">
        <v>4</v>
      </c>
      <c r="R8" s="1">
        <v>3</v>
      </c>
      <c r="S8" s="1">
        <v>4</v>
      </c>
      <c r="T8">
        <v>46</v>
      </c>
      <c r="U8">
        <v>2</v>
      </c>
      <c r="V8">
        <f>2.5*((D8-1)+(5-E8)+(F8-1)+(5-G8)+(H8-1)+(5-I8)+(J8-1)+(5-K8)+(L8-1)+(5-M8))</f>
        <v>80</v>
      </c>
      <c r="W8">
        <f>AVERAGE(Form_Responses[[#This Row],[This tool would improve my productivity when creating personalized conversational agents.]:[I would find this tool useful in real-world projects.]])</f>
        <v>4.666666666666667</v>
      </c>
      <c r="X8">
        <f>AVERAGE(Form_Responses[[#This Row],[Learning to operate the tool was easy for me.]:[I found the tool flexible to use.]])</f>
        <v>3.6666666666666665</v>
      </c>
      <c r="Y8">
        <v>46</v>
      </c>
      <c r="Z8" s="15">
        <v>2</v>
      </c>
    </row>
    <row r="9" spans="1:26" ht="15.75" customHeight="1" x14ac:dyDescent="0.2">
      <c r="A9" s="16" t="s">
        <v>30</v>
      </c>
      <c r="B9" s="1" t="s">
        <v>21</v>
      </c>
      <c r="C9" s="1" t="s">
        <v>21</v>
      </c>
      <c r="D9" s="1">
        <v>4</v>
      </c>
      <c r="E9" s="1">
        <v>2</v>
      </c>
      <c r="F9" s="1">
        <v>4</v>
      </c>
      <c r="G9" s="1">
        <v>4</v>
      </c>
      <c r="H9" s="1">
        <v>4</v>
      </c>
      <c r="I9" s="1">
        <v>1</v>
      </c>
      <c r="J9" s="1">
        <v>4</v>
      </c>
      <c r="K9" s="1">
        <v>1</v>
      </c>
      <c r="L9" s="1">
        <v>3</v>
      </c>
      <c r="M9" s="1">
        <v>1</v>
      </c>
      <c r="N9" s="1">
        <v>4</v>
      </c>
      <c r="O9" s="1">
        <v>5</v>
      </c>
      <c r="P9" s="1">
        <v>5</v>
      </c>
      <c r="Q9" s="1">
        <v>4</v>
      </c>
      <c r="R9" s="1">
        <v>3</v>
      </c>
      <c r="S9" s="1">
        <v>3</v>
      </c>
      <c r="T9">
        <v>50</v>
      </c>
      <c r="U9">
        <v>7</v>
      </c>
      <c r="V9">
        <f>2.5*((D9-1)+(5-E9)+(F9-1)+(5-G9)+(H9-1)+(5-I9)+(J9-1)+(5-K9)+(L9-1)+(5-M9))</f>
        <v>75</v>
      </c>
      <c r="W9">
        <f>AVERAGE(Form_Responses[[#This Row],[This tool would improve my productivity when creating personalized conversational agents.]:[I would find this tool useful in real-world projects.]])</f>
        <v>4.666666666666667</v>
      </c>
      <c r="X9">
        <f>AVERAGE(Form_Responses[[#This Row],[Learning to operate the tool was easy for me.]:[I found the tool flexible to use.]])</f>
        <v>3.3333333333333335</v>
      </c>
      <c r="Y9">
        <v>50</v>
      </c>
      <c r="Z9" s="15">
        <v>7</v>
      </c>
    </row>
    <row r="12" spans="1:26" ht="15.75" customHeight="1" x14ac:dyDescent="0.2">
      <c r="A12" s="6" t="s">
        <v>31</v>
      </c>
      <c r="B12" s="6"/>
      <c r="C12" s="10" t="s">
        <v>28</v>
      </c>
      <c r="D12" s="10"/>
    </row>
    <row r="13" spans="1:26" ht="15.75" customHeight="1" x14ac:dyDescent="0.2">
      <c r="A13" s="6"/>
      <c r="B13" s="6"/>
      <c r="C13" s="11" t="s">
        <v>23</v>
      </c>
      <c r="D13" s="11" t="s">
        <v>24</v>
      </c>
    </row>
    <row r="14" spans="1:26" ht="15.75" customHeight="1" x14ac:dyDescent="0.2">
      <c r="A14" s="6" t="s">
        <v>34</v>
      </c>
      <c r="B14" s="7" t="s">
        <v>32</v>
      </c>
      <c r="C14" s="8">
        <f>AVERAGE($D$2:$D$5)</f>
        <v>4.25</v>
      </c>
      <c r="D14" s="8">
        <f>AVERAGE($D$6:$D$9)</f>
        <v>3.75</v>
      </c>
    </row>
    <row r="15" spans="1:26" ht="15.75" customHeight="1" x14ac:dyDescent="0.2">
      <c r="A15" s="6"/>
      <c r="B15" s="9" t="s">
        <v>3</v>
      </c>
      <c r="C15" s="8">
        <f>AVERAGE($E$2:$E$5)</f>
        <v>1.5</v>
      </c>
      <c r="D15" s="8">
        <f>AVERAGE($E$6:$E$9)</f>
        <v>1.75</v>
      </c>
    </row>
    <row r="16" spans="1:26" ht="15.75" customHeight="1" x14ac:dyDescent="0.2">
      <c r="A16" s="6"/>
      <c r="B16" s="9" t="s">
        <v>4</v>
      </c>
      <c r="C16" s="8">
        <f>AVERAGE($F$2:$F$5)</f>
        <v>4.25</v>
      </c>
      <c r="D16" s="8">
        <f>AVERAGE($F$6:$F$9)</f>
        <v>4</v>
      </c>
    </row>
    <row r="17" spans="1:4" ht="15.75" customHeight="1" x14ac:dyDescent="0.2">
      <c r="A17" s="6"/>
      <c r="B17" s="9" t="s">
        <v>33</v>
      </c>
      <c r="C17" s="8">
        <f>AVERAGE($G$2:$G$5)</f>
        <v>1.25</v>
      </c>
      <c r="D17" s="8">
        <f>AVERAGE($G$6:$G$9)</f>
        <v>2.25</v>
      </c>
    </row>
    <row r="18" spans="1:4" ht="15.75" customHeight="1" x14ac:dyDescent="0.2">
      <c r="A18" s="6"/>
      <c r="B18" s="9" t="s">
        <v>6</v>
      </c>
      <c r="C18" s="8">
        <f>AVERAGE($H$2:$H$5)</f>
        <v>5</v>
      </c>
      <c r="D18" s="8">
        <f>AVERAGE($H$6:$H$9)</f>
        <v>4.25</v>
      </c>
    </row>
    <row r="19" spans="1:4" ht="15.75" customHeight="1" x14ac:dyDescent="0.2">
      <c r="A19" s="6"/>
      <c r="B19" s="9" t="s">
        <v>7</v>
      </c>
      <c r="C19" s="8">
        <f>AVERAGE($I$2:$I$5)</f>
        <v>1.25</v>
      </c>
      <c r="D19" s="8">
        <f>AVERAGE($I$6:$I$9)</f>
        <v>1</v>
      </c>
    </row>
    <row r="20" spans="1:4" ht="15.75" customHeight="1" x14ac:dyDescent="0.2">
      <c r="A20" s="6"/>
      <c r="B20" s="9" t="s">
        <v>8</v>
      </c>
      <c r="C20" s="8">
        <f>AVERAGE($J$2:$J$5)</f>
        <v>4.75</v>
      </c>
      <c r="D20" s="8">
        <f>AVERAGE($J$6:$J$9)</f>
        <v>4</v>
      </c>
    </row>
    <row r="21" spans="1:4" ht="15.75" customHeight="1" x14ac:dyDescent="0.2">
      <c r="A21" s="6"/>
      <c r="B21" s="9" t="s">
        <v>9</v>
      </c>
      <c r="C21" s="8">
        <f>AVERAGE($K$2:$K$5)</f>
        <v>1.25</v>
      </c>
      <c r="D21" s="8">
        <f>AVERAGE($K$6:$K$9)</f>
        <v>1.5</v>
      </c>
    </row>
    <row r="22" spans="1:4" ht="15.75" customHeight="1" x14ac:dyDescent="0.2">
      <c r="A22" s="6"/>
      <c r="B22" s="9" t="s">
        <v>10</v>
      </c>
      <c r="C22" s="8">
        <f>AVERAGE($L$2:$L$5)</f>
        <v>5</v>
      </c>
      <c r="D22" s="8">
        <f>AVERAGE($L$6:$L$9)</f>
        <v>3.25</v>
      </c>
    </row>
    <row r="23" spans="1:4" ht="15.75" customHeight="1" x14ac:dyDescent="0.2">
      <c r="A23" s="6"/>
      <c r="B23" s="9" t="s">
        <v>11</v>
      </c>
      <c r="C23" s="8">
        <f>AVERAGE($M$2:$M$5)</f>
        <v>1</v>
      </c>
      <c r="D23" s="8">
        <f>AVERAGE($M$6:$M$9)</f>
        <v>1.25</v>
      </c>
    </row>
    <row r="24" spans="1:4" ht="15.75" customHeight="1" x14ac:dyDescent="0.2">
      <c r="A24" s="6"/>
      <c r="B24" s="9" t="s">
        <v>18</v>
      </c>
      <c r="C24" s="8">
        <f>AVERAGE(V2:V5)</f>
        <v>92.5</v>
      </c>
      <c r="D24" s="8">
        <f>AVERAGE(V6:V9)</f>
        <v>78.75</v>
      </c>
    </row>
    <row r="25" spans="1:4" ht="15.75" customHeight="1" x14ac:dyDescent="0.2">
      <c r="A25" s="5"/>
      <c r="B25" s="3"/>
    </row>
    <row r="26" spans="1:4" ht="15.75" customHeight="1" x14ac:dyDescent="0.2">
      <c r="A26" s="12" t="s">
        <v>36</v>
      </c>
      <c r="B26" s="9" t="s">
        <v>12</v>
      </c>
      <c r="C26" s="8">
        <f>AVERAGE($N$2:$N$5)</f>
        <v>5</v>
      </c>
      <c r="D26" s="8">
        <f>AVERAGE($N$6:$N$9)</f>
        <v>4</v>
      </c>
    </row>
    <row r="27" spans="1:4" ht="15.75" customHeight="1" x14ac:dyDescent="0.2">
      <c r="A27" s="12"/>
      <c r="B27" s="9" t="s">
        <v>13</v>
      </c>
      <c r="C27" s="8">
        <f>AVERAGE($O$2:$O$5)</f>
        <v>4.5</v>
      </c>
      <c r="D27" s="8">
        <f>AVERAGE($O$6:$O$9)</f>
        <v>4.5</v>
      </c>
    </row>
    <row r="28" spans="1:4" ht="15.75" customHeight="1" x14ac:dyDescent="0.2">
      <c r="A28" s="12"/>
      <c r="B28" s="9" t="s">
        <v>14</v>
      </c>
      <c r="C28" s="8">
        <f>AVERAGE($P$2:$P$5)</f>
        <v>4.75</v>
      </c>
      <c r="D28" s="8">
        <f>AVERAGE($P$6:$P$9)</f>
        <v>4.25</v>
      </c>
    </row>
    <row r="29" spans="1:4" ht="15.75" customHeight="1" x14ac:dyDescent="0.2">
      <c r="A29" s="12"/>
      <c r="B29" s="9" t="s">
        <v>35</v>
      </c>
      <c r="C29" s="8">
        <f>AVERAGE(C26:C28)</f>
        <v>4.75</v>
      </c>
      <c r="D29" s="8">
        <f>AVERAGE(D26:D28)</f>
        <v>4.25</v>
      </c>
    </row>
    <row r="30" spans="1:4" ht="15.75" customHeight="1" x14ac:dyDescent="0.2">
      <c r="A30" s="12" t="s">
        <v>37</v>
      </c>
      <c r="B30" s="9" t="s">
        <v>15</v>
      </c>
      <c r="C30" s="8">
        <f>AVERAGE($Q$2:$Q$5)</f>
        <v>5</v>
      </c>
      <c r="D30" s="8">
        <f>AVERAGE($Q$6:$Q$9)</f>
        <v>3.75</v>
      </c>
    </row>
    <row r="31" spans="1:4" ht="15.75" customHeight="1" x14ac:dyDescent="0.2">
      <c r="A31" s="12"/>
      <c r="B31" s="9" t="s">
        <v>16</v>
      </c>
      <c r="C31" s="8">
        <f>AVERAGE($R$2:$R$5)</f>
        <v>4.5</v>
      </c>
      <c r="D31" s="8">
        <f>AVERAGE($R$6:$R$9)</f>
        <v>3.5</v>
      </c>
    </row>
    <row r="32" spans="1:4" ht="15.75" customHeight="1" x14ac:dyDescent="0.2">
      <c r="A32" s="12"/>
      <c r="B32" s="9" t="s">
        <v>17</v>
      </c>
      <c r="C32" s="8">
        <f>AVERAGE($S$2:$S$5)</f>
        <v>5</v>
      </c>
      <c r="D32" s="8">
        <f>AVERAGE($S$6:$S$9)</f>
        <v>3.5</v>
      </c>
    </row>
    <row r="33" spans="1:7" ht="15.75" customHeight="1" x14ac:dyDescent="0.2">
      <c r="A33" s="12"/>
      <c r="B33" s="9" t="s">
        <v>35</v>
      </c>
      <c r="C33" s="8">
        <f>AVERAGE(C30:C32)</f>
        <v>4.833333333333333</v>
      </c>
      <c r="D33" s="8">
        <f>AVERAGE(D30:D32)</f>
        <v>3.5833333333333335</v>
      </c>
    </row>
    <row r="35" spans="1:7" ht="15.75" customHeight="1" x14ac:dyDescent="0.2">
      <c r="A35" s="6" t="s">
        <v>38</v>
      </c>
      <c r="B35" s="9" t="s">
        <v>40</v>
      </c>
      <c r="C35" s="8">
        <f>AVERAGE(T2:T5)</f>
        <v>39.75</v>
      </c>
      <c r="D35" s="8">
        <f>AVERAGE(U2:U5)</f>
        <v>2.25</v>
      </c>
    </row>
    <row r="36" spans="1:7" ht="15.75" customHeight="1" x14ac:dyDescent="0.2">
      <c r="A36" s="14"/>
      <c r="B36" s="9" t="s">
        <v>39</v>
      </c>
      <c r="C36" s="8">
        <f>AVERAGE(T6:T9)</f>
        <v>43.25</v>
      </c>
      <c r="D36" s="8">
        <f>AVERAGE(U6:U9)</f>
        <v>3.75</v>
      </c>
    </row>
    <row r="40" spans="1:7" ht="15.75" customHeight="1" x14ac:dyDescent="0.2">
      <c r="B40" s="4"/>
      <c r="C40" s="4"/>
      <c r="D40" s="4"/>
      <c r="E40" s="4"/>
      <c r="F40" s="4"/>
      <c r="G40" s="4"/>
    </row>
  </sheetData>
  <mergeCells count="6">
    <mergeCell ref="A26:A29"/>
    <mergeCell ref="A30:A33"/>
    <mergeCell ref="A14:A24"/>
    <mergeCell ref="A35:A36"/>
    <mergeCell ref="C12:D12"/>
    <mergeCell ref="A12:B13"/>
  </mergeCells>
  <phoneticPr fontId="2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CONRARDY Aaron David</cp:lastModifiedBy>
  <dcterms:created xsi:type="dcterms:W3CDTF">2026-02-04T13:24:15Z</dcterms:created>
  <dcterms:modified xsi:type="dcterms:W3CDTF">2026-02-13T16:41:02Z</dcterms:modified>
</cp:coreProperties>
</file>